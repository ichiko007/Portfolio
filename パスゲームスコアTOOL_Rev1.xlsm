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d.docs.live.net/4a3abc6ce386d1da/デスクトップ/"/>
    </mc:Choice>
  </mc:AlternateContent>
  <xr:revisionPtr revIDLastSave="122" documentId="13_ncr:1_{092A16FC-ED53-468D-9CAF-55D07CD094CE}" xr6:coauthVersionLast="47" xr6:coauthVersionMax="47" xr10:uidLastSave="{B28D06DB-E654-49DE-A973-A3A79C6DE6B3}"/>
  <bookViews>
    <workbookView xWindow="-98" yWindow="-98" windowWidth="28996" windowHeight="15675" xr2:uid="{949CC2E1-D40E-4680-BBCD-E07A32B41320}"/>
  </bookViews>
  <sheets>
    <sheet name="スコア表" sheetId="4" r:id="rId1"/>
  </sheets>
  <definedNames>
    <definedName name="_xlnm.Print_Area" localSheetId="0">スコア表!$A$1:$AH$21</definedName>
    <definedName name="ビブスNo">スコア表!$B$10:$B$14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12" i="4" l="1"/>
  <c r="AG11" i="4"/>
  <c r="AG10" i="4"/>
  <c r="D12" i="4"/>
  <c r="D11" i="4"/>
  <c r="D10" i="4"/>
  <c r="AF6" i="4" a="1"/>
  <c r="AF6" i="4" s="1"/>
  <c r="D1" i="4"/>
  <c r="B1" i="4"/>
  <c r="D14" i="4"/>
  <c r="D13" i="4"/>
  <c r="AG14" i="4"/>
  <c r="AG13"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phonet-ict011</author>
  </authors>
  <commentList>
    <comment ref="AG1" authorId="0" shapeId="0" xr:uid="{A87C78B8-EB25-48C2-88A6-15553F30241E}">
      <text>
        <r>
          <rPr>
            <b/>
            <sz val="9"/>
            <color indexed="81"/>
            <rFont val="MS P ゴシック"/>
            <family val="3"/>
            <charset val="128"/>
          </rPr>
          <t xml:space="preserve">[画面キャプチャ]を実行するとカウントアップ。
</t>
        </r>
      </text>
    </comment>
    <comment ref="AE3" authorId="0" shapeId="0" xr:uid="{C0578466-B978-4CB1-984E-B9A9FD1A4BBF}">
      <text>
        <r>
          <rPr>
            <b/>
            <sz val="9"/>
            <color indexed="81"/>
            <rFont val="MS P ゴシック"/>
            <family val="3"/>
            <charset val="128"/>
          </rPr>
          <t xml:space="preserve">[画面キャプチャ]ボタンの押下にて現在のスコア表を画像化して画面右側に貼り付ける。振り返りなどに利用。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C559A9C-78B9-4B81-9B41-4761C9088B7B}" keepAlive="1" name="クエリ - テーブル3" description="ブック内の 'テーブル3' クエリへの接続です。" type="5" refreshedVersion="0" background="1">
    <dbPr connection="Provider=Microsoft.Mashup.OleDb.1;Data Source=$Workbook$;Location=テーブル3;Extended Properties=&quot;&quot;" command="SELECT * FROM [テーブル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<sst xmlns="http://schemas.openxmlformats.org/spreadsheetml/2006/main" count="58" uniqueCount="38">
  <si>
    <t>AAA</t>
    <phoneticPr fontId="1"/>
  </si>
  <si>
    <t>BBB</t>
    <phoneticPr fontId="1"/>
  </si>
  <si>
    <t>CCC</t>
    <phoneticPr fontId="1"/>
  </si>
  <si>
    <t>■攻守：</t>
    <rPh sb="1" eb="3">
      <t>コウシュ</t>
    </rPh>
    <phoneticPr fontId="1"/>
  </si>
  <si>
    <t>右</t>
    <rPh sb="0" eb="1">
      <t>ミギ</t>
    </rPh>
    <phoneticPr fontId="1"/>
  </si>
  <si>
    <t>aaa</t>
    <phoneticPr fontId="1"/>
  </si>
  <si>
    <t>bbb</t>
    <phoneticPr fontId="1"/>
  </si>
  <si>
    <t>ccc</t>
    <phoneticPr fontId="1"/>
  </si>
  <si>
    <t>接触回数</t>
    <rPh sb="0" eb="4">
      <t>セッショクカイスウ</t>
    </rPh>
    <phoneticPr fontId="1"/>
  </si>
  <si>
    <t>ビブスNo</t>
    <phoneticPr fontId="1"/>
  </si>
  <si>
    <t>回数</t>
    <rPh sb="0" eb="2">
      <t>カイスウ</t>
    </rPh>
    <phoneticPr fontId="1"/>
  </si>
  <si>
    <t>氏名</t>
    <rPh sb="0" eb="2">
      <t>シメイ</t>
    </rPh>
    <phoneticPr fontId="1"/>
  </si>
  <si>
    <t>■チーム：</t>
    <phoneticPr fontId="1"/>
  </si>
  <si>
    <t>左</t>
    <rPh sb="0" eb="1">
      <t>ヒダリ</t>
    </rPh>
    <phoneticPr fontId="1"/>
  </si>
  <si>
    <t>日付：</t>
    <rPh sb="0" eb="2">
      <t>ヒヅケ</t>
    </rPh>
    <phoneticPr fontId="1"/>
  </si>
  <si>
    <t>クラス：</t>
    <phoneticPr fontId="1"/>
  </si>
  <si>
    <t>■メンバー表</t>
    <rPh sb="5" eb="6">
      <t>ヒョウ</t>
    </rPh>
    <phoneticPr fontId="1"/>
  </si>
  <si>
    <t>3-1</t>
    <phoneticPr fontId="1"/>
  </si>
  <si>
    <t>メモ</t>
    <phoneticPr fontId="1"/>
  </si>
  <si>
    <r>
      <t>本ファイル起動直後やゲーム開始前に[</t>
    </r>
    <r>
      <rPr>
        <b/>
        <sz val="11"/>
        <color rgb="FFFF0000"/>
        <rFont val="游ゴシック"/>
        <family val="3"/>
        <charset val="128"/>
        <scheme val="minor"/>
      </rPr>
      <t>クリア</t>
    </r>
    <r>
      <rPr>
        <sz val="11"/>
        <color rgb="FFFF0000"/>
        <rFont val="游ゴシック"/>
        <family val="2"/>
        <charset val="128"/>
        <scheme val="minor"/>
      </rPr>
      <t>]を実行してください。➡</t>
    </r>
    <rPh sb="0" eb="1">
      <t>ホン</t>
    </rPh>
    <rPh sb="5" eb="7">
      <t>キドウ</t>
    </rPh>
    <rPh sb="7" eb="9">
      <t>チョクゴ</t>
    </rPh>
    <rPh sb="13" eb="15">
      <t>カイシ</t>
    </rPh>
    <rPh sb="15" eb="16">
      <t>マエ</t>
    </rPh>
    <rPh sb="23" eb="25">
      <t>ジッコウ</t>
    </rPh>
    <phoneticPr fontId="1"/>
  </si>
  <si>
    <t>位置</t>
    <rPh sb="0" eb="2">
      <t>イチ</t>
    </rPh>
    <phoneticPr fontId="1"/>
  </si>
  <si>
    <t>キャプチャ画面</t>
    <rPh sb="5" eb="7">
      <t>ガメン</t>
    </rPh>
    <phoneticPr fontId="1"/>
  </si>
  <si>
    <t>注：ゲーム開始前にピンク塗潰しセルへ入力をお願いします。</t>
    <phoneticPr fontId="1"/>
  </si>
  <si>
    <t>DDD</t>
    <phoneticPr fontId="1"/>
  </si>
  <si>
    <t>EEE</t>
    <phoneticPr fontId="1"/>
  </si>
  <si>
    <t>ゴール</t>
  </si>
  <si>
    <t>守備</t>
  </si>
  <si>
    <t>ccc</t>
  </si>
  <si>
    <t>AC12</t>
  </si>
  <si>
    <t>aaa</t>
  </si>
  <si>
    <t>X12</t>
  </si>
  <si>
    <t>bbb</t>
  </si>
  <si>
    <t>T10</t>
  </si>
  <si>
    <t>O10</t>
  </si>
  <si>
    <t>L15</t>
  </si>
  <si>
    <t>J18</t>
  </si>
  <si>
    <t>H11</t>
  </si>
  <si>
    <t>F13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</si>
</sst>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F400]h:mm:ss\ AM/PM"/>
  </numFmts>
  <fonts count="15">
    <font>
      <sz val="11"/>
      <color theme="1"/>
      <name val="游ゴシック"/>
      <family val="2"/>
      <charset val="128"/>
      <scheme val="minor"/>
    </font>
    <font>
      <sz val="6"/>
      <name val="游ゴシック"/>
      <family val="2"/>
      <charset val="128"/>
      <scheme val="minor"/>
    </font>
    <font>
      <b/>
      <sz val="11"/>
      <color theme="0"/>
      <name val="游ゴシック"/>
      <family val="3"/>
      <charset val="128"/>
      <scheme val="minor"/>
    </font>
    <font>
      <b/>
      <sz val="11"/>
      <color theme="1"/>
      <name val="游ゴシック"/>
      <family val="3"/>
      <charset val="128"/>
      <scheme val="minor"/>
    </font>
    <font>
      <b/>
      <sz val="10"/>
      <color theme="1"/>
      <name val="游ゴシック"/>
      <family val="3"/>
      <charset val="128"/>
      <scheme val="minor"/>
    </font>
    <font>
      <b/>
      <sz val="11"/>
      <color rgb="FFFF0000"/>
      <name val="游ゴシック"/>
      <family val="3"/>
      <charset val="128"/>
      <scheme val="minor"/>
    </font>
    <font>
      <sz val="11"/>
      <color rgb="FFFF0000"/>
      <name val="游ゴシック"/>
      <family val="2"/>
      <charset val="128"/>
      <scheme val="minor"/>
    </font>
    <font>
      <sz val="11"/>
      <color rgb="FFFF0000"/>
      <name val="游ゴシック"/>
      <family val="3"/>
      <charset val="128"/>
      <scheme val="minor"/>
    </font>
    <font>
      <b/>
      <sz val="11"/>
      <color theme="5" tint="-0.249977111117893"/>
      <name val="游ゴシック"/>
      <family val="3"/>
      <charset val="128"/>
      <scheme val="minor"/>
    </font>
    <font>
      <b/>
      <sz val="11"/>
      <color rgb="FF0070C0"/>
      <name val="游ゴシック"/>
      <family val="3"/>
      <charset val="128"/>
      <scheme val="minor"/>
    </font>
    <font>
      <b/>
      <sz val="8"/>
      <color theme="1"/>
      <name val="游ゴシック"/>
      <family val="3"/>
      <charset val="128"/>
      <scheme val="minor"/>
    </font>
    <font>
      <sz val="12"/>
      <color rgb="FF000000"/>
      <name val="HGP創英角ｺﾞｼｯｸUB"/>
      <family val="3"/>
      <charset val="128"/>
    </font>
    <font>
      <sz val="11"/>
      <color rgb="FF00B050"/>
      <name val="游ゴシック"/>
      <family val="2"/>
      <charset val="128"/>
      <scheme val="minor"/>
    </font>
    <font>
      <b/>
      <sz val="11"/>
      <color rgb="FF000000"/>
      <name val="游ゴシック"/>
      <family val="3"/>
      <charset val="128"/>
    </font>
    <font>
      <b/>
      <sz val="9"/>
      <color indexed="81"/>
      <name val="MS P ゴシック"/>
      <family val="3"/>
      <charset val="128"/>
    </font>
  </fonts>
  <fills count="9">
    <fill>
      <patternFill patternType="none"/>
    </fill>
    <fill>
      <patternFill patternType="gray125"/>
    </fill>
    <fill>
      <patternFill patternType="solid">
        <fgColor theme="4"/>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CCFF"/>
        <bgColor indexed="64"/>
      </patternFill>
    </fill>
    <fill>
      <patternFill patternType="solid">
        <fgColor rgb="FFFF3300"/>
        <bgColor indexed="64"/>
      </patternFill>
    </fill>
    <fill>
      <patternFill patternType="solid">
        <fgColor rgb="FF00B050"/>
        <bgColor indexed="64"/>
      </patternFill>
    </fill>
  </fills>
  <borders count="3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thin">
        <color auto="1"/>
      </left>
      <right/>
      <top style="thin">
        <color theme="4" tint="0.39997558519241921"/>
      </top>
      <bottom/>
      <diagonal/>
    </border>
    <border>
      <left/>
      <right/>
      <top style="thin">
        <color theme="4" tint="0.39997558519241921"/>
      </top>
      <bottom/>
      <diagonal/>
    </border>
    <border>
      <left/>
      <right style="thin">
        <color auto="1"/>
      </right>
      <top style="thin">
        <color theme="4" tint="0.39997558519241921"/>
      </top>
      <bottom/>
      <diagonal/>
    </border>
    <border>
      <left style="thin">
        <color auto="1"/>
      </left>
      <right style="thin">
        <color theme="4" tint="0.39997558519241921"/>
      </right>
      <top style="thin">
        <color auto="1"/>
      </top>
      <bottom/>
      <diagonal/>
    </border>
    <border>
      <left style="thin">
        <color auto="1"/>
      </left>
      <right style="thin">
        <color theme="4" tint="0.39997558519241921"/>
      </right>
      <top style="thin">
        <color theme="4" tint="0.39997558519241921"/>
      </top>
      <bottom/>
      <diagonal/>
    </border>
    <border>
      <left style="thin">
        <color auto="1"/>
      </left>
      <right style="thin">
        <color auto="1"/>
      </right>
      <top style="thin">
        <color auto="1"/>
      </top>
      <bottom style="dotted">
        <color auto="1"/>
      </bottom>
      <diagonal/>
    </border>
    <border>
      <left/>
      <right/>
      <top style="thin">
        <color auto="1"/>
      </top>
      <bottom style="dotted">
        <color auto="1"/>
      </bottom>
      <diagonal/>
    </border>
    <border>
      <left style="thin">
        <color auto="1"/>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thin">
        <color auto="1"/>
      </bottom>
      <diagonal/>
    </border>
    <border>
      <left/>
      <right/>
      <top style="dotted">
        <color auto="1"/>
      </top>
      <bottom style="thin">
        <color auto="1"/>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dotted">
        <color indexed="64"/>
      </right>
      <top style="thin">
        <color indexed="8"/>
      </top>
      <bottom/>
      <diagonal/>
    </border>
    <border>
      <left/>
      <right style="dotted">
        <color indexed="64"/>
      </right>
      <top/>
      <bottom/>
      <diagonal/>
    </border>
    <border>
      <left/>
      <right style="dotted">
        <color indexed="64"/>
      </right>
      <top/>
      <bottom style="thin">
        <color indexed="8"/>
      </bottom>
      <diagonal/>
    </border>
    <border>
      <left style="thick">
        <color indexed="12"/>
      </left>
      <right style="thick">
        <color indexed="12"/>
      </right>
      <top style="thick">
        <color indexed="12"/>
      </top>
      <bottom style="thick">
        <color indexed="12"/>
      </bottom>
      <diagonal/>
    </border>
  </borders>
  <cellStyleXfs count="1">
    <xf numFmtId="0" fontId="0" fillId="0" borderId="0">
      <alignment vertical="center"/>
    </xf>
  </cellStyleXfs>
  <cellXfs count="65">
    <xf numFmtId="0" fontId="0" fillId="0" borderId="0" xfId="0">
      <alignment vertical="center"/>
    </xf>
    <xf numFmtId="0" fontId="0" fillId="0" borderId="2" xfId="0" applyBorder="1">
      <alignment vertical="center"/>
    </xf>
    <xf numFmtId="0" fontId="0" fillId="0" borderId="4" xfId="0" applyBorder="1">
      <alignment vertical="center"/>
    </xf>
    <xf numFmtId="0" fontId="0" fillId="0" borderId="5" xfId="0" applyBorder="1">
      <alignment vertical="center"/>
    </xf>
    <xf numFmtId="0" fontId="0" fillId="0" borderId="0" xfId="0" applyAlignment="1">
      <alignment vertical="center" textRotation="255"/>
    </xf>
    <xf numFmtId="0" fontId="2" fillId="2" borderId="1" xfId="0" applyFont="1" applyFill="1" applyBorder="1">
      <alignment vertical="center"/>
    </xf>
    <xf numFmtId="0" fontId="2" fillId="2" borderId="2" xfId="0" applyFont="1" applyFill="1" applyBorder="1">
      <alignment vertical="center"/>
    </xf>
    <xf numFmtId="0" fontId="2" fillId="2" borderId="3" xfId="0" applyFont="1" applyFill="1" applyBorder="1">
      <alignment vertical="center"/>
    </xf>
    <xf numFmtId="0" fontId="0" fillId="3" borderId="9" xfId="0" applyFill="1" applyBorder="1">
      <alignment vertical="center"/>
    </xf>
    <xf numFmtId="0" fontId="0" fillId="0" borderId="9" xfId="0" applyBorder="1">
      <alignment vertical="center"/>
    </xf>
    <xf numFmtId="0" fontId="3" fillId="0" borderId="0" xfId="0" applyFont="1">
      <alignment vertical="center"/>
    </xf>
    <xf numFmtId="0" fontId="4" fillId="0" borderId="0" xfId="0" applyFont="1">
      <alignment vertical="center"/>
    </xf>
    <xf numFmtId="0" fontId="3" fillId="0" borderId="6" xfId="0" applyFont="1" applyBorder="1">
      <alignment vertical="center"/>
    </xf>
    <xf numFmtId="0" fontId="3" fillId="0" borderId="2" xfId="0" applyFont="1" applyBorder="1" applyAlignment="1">
      <alignment horizontal="right" vertical="center"/>
    </xf>
    <xf numFmtId="0" fontId="3" fillId="0" borderId="3" xfId="0" applyFont="1" applyBorder="1">
      <alignment vertical="center"/>
    </xf>
    <xf numFmtId="0" fontId="2" fillId="2" borderId="10" xfId="0" applyFont="1" applyFill="1" applyBorder="1">
      <alignment vertical="center"/>
    </xf>
    <xf numFmtId="0" fontId="8" fillId="3" borderId="7" xfId="0" applyFont="1" applyFill="1" applyBorder="1">
      <alignment vertical="center"/>
    </xf>
    <xf numFmtId="0" fontId="8" fillId="0" borderId="7" xfId="0" applyFont="1" applyBorder="1">
      <alignment vertical="center"/>
    </xf>
    <xf numFmtId="0" fontId="3" fillId="6" borderId="0" xfId="0" applyFont="1" applyFill="1">
      <alignment vertical="center"/>
    </xf>
    <xf numFmtId="0" fontId="0" fillId="6" borderId="8" xfId="0" applyFill="1" applyBorder="1">
      <alignment vertical="center"/>
    </xf>
    <xf numFmtId="0" fontId="3" fillId="0" borderId="1" xfId="0" applyFont="1" applyBorder="1" applyAlignment="1">
      <alignment horizontal="right" vertical="center"/>
    </xf>
    <xf numFmtId="0" fontId="3" fillId="0" borderId="4" xfId="0" applyFont="1" applyBorder="1" applyAlignment="1">
      <alignment horizontal="right" vertical="center"/>
    </xf>
    <xf numFmtId="176" fontId="9" fillId="0" borderId="2" xfId="0" applyNumberFormat="1" applyFont="1" applyBorder="1">
      <alignment vertical="center"/>
    </xf>
    <xf numFmtId="0" fontId="3" fillId="0" borderId="12" xfId="0" applyFont="1" applyBorder="1" applyAlignment="1">
      <alignment horizontal="center" vertical="center"/>
    </xf>
    <xf numFmtId="0" fontId="0" fillId="0" borderId="13" xfId="0" applyBorder="1" applyAlignment="1">
      <alignment horizontal="center" vertical="center"/>
    </xf>
    <xf numFmtId="0" fontId="3" fillId="0" borderId="14" xfId="0" applyFont="1" applyBorder="1" applyAlignment="1">
      <alignment horizontal="center" vertical="center"/>
    </xf>
    <xf numFmtId="0" fontId="8" fillId="0" borderId="15" xfId="0" applyFont="1" applyBorder="1" applyAlignment="1">
      <alignment horizontal="center" vertical="center"/>
    </xf>
    <xf numFmtId="0" fontId="3" fillId="0" borderId="14" xfId="0" applyFont="1" applyBorder="1" applyAlignment="1">
      <alignment horizontal="center" vertical="center" textRotation="255"/>
    </xf>
    <xf numFmtId="0" fontId="0" fillId="0" borderId="15" xfId="0" applyBorder="1" applyAlignment="1">
      <alignment horizontal="center" vertical="center" textRotation="255" shrinkToFit="1"/>
    </xf>
    <xf numFmtId="0" fontId="10" fillId="0" borderId="15" xfId="0" applyFont="1" applyBorder="1" applyAlignment="1">
      <alignment horizontal="center" vertical="center" textRotation="255" shrinkToFit="1"/>
    </xf>
    <xf numFmtId="0" fontId="3" fillId="0" borderId="16" xfId="0" applyFont="1" applyBorder="1" applyAlignment="1">
      <alignment horizontal="center" vertical="center" textRotation="255"/>
    </xf>
    <xf numFmtId="0" fontId="3" fillId="0" borderId="17" xfId="0" applyFont="1" applyBorder="1" applyAlignment="1">
      <alignment horizontal="center" vertical="center" textRotation="255" shrinkToFit="1"/>
    </xf>
    <xf numFmtId="0" fontId="12" fillId="8" borderId="0" xfId="0" applyFont="1" applyFill="1">
      <alignment vertical="center"/>
    </xf>
    <xf numFmtId="0" fontId="0" fillId="7" borderId="0" xfId="0" applyFill="1">
      <alignment vertical="center"/>
    </xf>
    <xf numFmtId="0" fontId="6" fillId="0" borderId="4" xfId="0" applyFont="1" applyBorder="1" applyAlignment="1">
      <alignment vertical="center" wrapText="1"/>
    </xf>
    <xf numFmtId="0" fontId="6" fillId="0" borderId="0" xfId="0" applyFont="1" applyAlignment="1">
      <alignment vertical="center" wrapText="1"/>
    </xf>
    <xf numFmtId="0" fontId="12" fillId="0" borderId="0" xfId="0" applyFont="1">
      <alignment vertical="center"/>
    </xf>
    <xf numFmtId="0" fontId="8" fillId="5" borderId="18" xfId="0" applyFont="1" applyFill="1" applyBorder="1" applyAlignment="1">
      <alignment horizontal="center" vertical="center"/>
    </xf>
    <xf numFmtId="0" fontId="8" fillId="5" borderId="19" xfId="0" applyFont="1" applyFill="1" applyBorder="1" applyAlignment="1">
      <alignment horizontal="center" vertical="center"/>
    </xf>
    <xf numFmtId="0" fontId="8" fillId="5" borderId="20" xfId="0" applyFont="1" applyFill="1" applyBorder="1" applyAlignment="1">
      <alignment horizontal="center" vertical="center"/>
    </xf>
    <xf numFmtId="0" fontId="8" fillId="5" borderId="21" xfId="0" applyFont="1" applyFill="1" applyBorder="1" applyAlignment="1">
      <alignment horizontal="center" vertical="center"/>
    </xf>
    <xf numFmtId="0" fontId="8" fillId="5" borderId="22" xfId="0" applyFont="1" applyFill="1" applyBorder="1" applyAlignment="1">
      <alignment horizontal="center" vertical="center"/>
    </xf>
    <xf numFmtId="0" fontId="8" fillId="5" borderId="23" xfId="0" applyFont="1" applyFill="1" applyBorder="1" applyAlignment="1">
      <alignment horizontal="center" vertical="center"/>
    </xf>
    <xf numFmtId="0" fontId="8" fillId="5" borderId="24" xfId="0" applyFont="1" applyFill="1" applyBorder="1" applyAlignment="1">
      <alignment horizontal="center" vertical="center"/>
    </xf>
    <xf numFmtId="0" fontId="8" fillId="5" borderId="25" xfId="0" applyFont="1" applyFill="1" applyBorder="1" applyAlignment="1">
      <alignment horizontal="center" vertical="center"/>
    </xf>
    <xf numFmtId="0" fontId="8" fillId="5" borderId="26" xfId="0" applyFont="1" applyFill="1" applyBorder="1" applyAlignment="1">
      <alignment horizontal="center" vertical="center"/>
    </xf>
    <xf numFmtId="0" fontId="8" fillId="5" borderId="27" xfId="0" applyFont="1" applyFill="1" applyBorder="1" applyAlignment="1">
      <alignment horizontal="center" vertical="center"/>
    </xf>
    <xf numFmtId="0" fontId="8" fillId="5" borderId="28" xfId="0" applyFont="1" applyFill="1" applyBorder="1" applyAlignment="1">
      <alignment horizontal="center" vertical="center"/>
    </xf>
    <xf numFmtId="0" fontId="3" fillId="0" borderId="2" xfId="0" applyFont="1" applyBorder="1" applyAlignment="1">
      <alignment horizontal="center" vertical="center"/>
    </xf>
    <xf numFmtId="0" fontId="8" fillId="0" borderId="8" xfId="0" applyFont="1" applyBorder="1">
      <alignment vertical="center"/>
    </xf>
    <xf numFmtId="0" fontId="0" fillId="0" borderId="8" xfId="0" applyBorder="1">
      <alignment vertical="center"/>
    </xf>
    <xf numFmtId="0" fontId="8" fillId="0" borderId="0" xfId="0" applyFont="1">
      <alignment vertical="center"/>
    </xf>
    <xf numFmtId="0" fontId="5" fillId="0" borderId="0" xfId="0" applyFont="1" applyAlignment="1">
      <alignment vertical="center" wrapText="1"/>
    </xf>
    <xf numFmtId="0" fontId="8" fillId="3" borderId="11" xfId="0" applyFont="1" applyFill="1" applyBorder="1">
      <alignment vertical="center"/>
    </xf>
    <xf numFmtId="0" fontId="8" fillId="0" borderId="11" xfId="0" applyFont="1" applyBorder="1">
      <alignment vertical="center"/>
    </xf>
    <xf numFmtId="0" fontId="8" fillId="4" borderId="29" xfId="0" applyFont="1" applyFill="1" applyBorder="1" applyAlignment="1">
      <alignment horizontal="center" vertical="center"/>
    </xf>
    <xf numFmtId="0" fontId="8" fillId="4" borderId="0" xfId="0" applyFont="1" applyFill="1" applyAlignment="1">
      <alignment horizontal="center" vertical="center"/>
    </xf>
    <xf numFmtId="0" fontId="8" fillId="5" borderId="0" xfId="0" applyFont="1" applyFill="1" applyAlignment="1">
      <alignment horizontal="center" vertical="center"/>
    </xf>
    <xf numFmtId="14" fontId="9" fillId="0" borderId="2" xfId="0" applyNumberFormat="1" applyFont="1" applyBorder="1" applyAlignment="1">
      <alignment horizontal="center" vertical="center"/>
    </xf>
    <xf numFmtId="49" fontId="3" fillId="6" borderId="0" xfId="0" applyNumberFormat="1" applyFont="1" applyFill="1" applyAlignment="1">
      <alignment horizontal="center" vertical="center"/>
    </xf>
    <xf numFmtId="0" fontId="6" fillId="0" borderId="4" xfId="0" applyFont="1" applyBorder="1" applyAlignment="1">
      <alignment horizontal="center" vertical="center" wrapText="1"/>
    </xf>
    <xf numFmtId="0" fontId="7" fillId="0" borderId="0" xfId="0" applyFont="1" applyAlignment="1">
      <alignment horizontal="center" vertical="center" wrapText="1"/>
    </xf>
    <xf numFmtId="0" fontId="6" fillId="0" borderId="4" xfId="0" applyFont="1" applyBorder="1" applyAlignment="1">
      <alignment horizontal="left" vertical="center" wrapText="1"/>
    </xf>
    <xf numFmtId="0" fontId="6" fillId="0" borderId="0" xfId="0" applyFont="1" applyAlignment="1">
      <alignment horizontal="left" vertical="center" wrapText="1"/>
    </xf>
    <xf numFmtId="0" fontId="6" fillId="0" borderId="5" xfId="0" applyFont="1" applyBorder="1" applyAlignment="1">
      <alignment horizontal="left" vertical="center" wrapText="1"/>
    </xf>
  </cellXfs>
  <cellStyles count="1">
    <cellStyle name="標準" xfId="0" builtinId="0"/>
  </cellStyles>
  <dxfs count="2">
    <dxf>
      <fill>
        <patternFill>
          <bgColor theme="8" tint="0.39994506668294322"/>
        </patternFill>
      </fill>
    </dxf>
    <dxf>
      <fill>
        <patternFill>
          <bgColor rgb="FFFF3300"/>
        </patternFill>
      </fill>
    </dxf>
  </dxfs>
  <tableStyles count="0" defaultTableStyle="TableStyleMedium2" defaultPivotStyle="PivotStyleLight16"/>
  <colors>
    <mruColors>
      <color rgb="FFFF33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connections" Target="connection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61913</xdr:colOff>
          <xdr:row>2</xdr:row>
          <xdr:rowOff>47625</xdr:rowOff>
        </xdr:from>
        <xdr:to>
          <xdr:col>3</xdr:col>
          <xdr:colOff>676275</xdr:colOff>
          <xdr:row>2</xdr:row>
          <xdr:rowOff>623888</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1200" b="0" i="0" u="none" strike="noStrike" baseline="0">
                  <a:solidFill>
                    <a:srgbClr val="000000"/>
                  </a:solidFill>
                  <a:latin typeface="HGP創英角ｺﾞｼｯｸUB"/>
                  <a:ea typeface="HGP創英角ｺﾞｼｯｸUB"/>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76200</xdr:colOff>
          <xdr:row>2</xdr:row>
          <xdr:rowOff>61913</xdr:rowOff>
        </xdr:from>
        <xdr:to>
          <xdr:col>30</xdr:col>
          <xdr:colOff>685800</xdr:colOff>
          <xdr:row>2</xdr:row>
          <xdr:rowOff>633413</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000000"/>
                  </a:solidFill>
                  <a:latin typeface="游ゴシック"/>
                  <a:ea typeface="游ゴシック"/>
                </a:rPr>
                <a:t>画面キャプチャ</a:t>
              </a:r>
            </a:p>
          </xdr:txBody>
        </xdr:sp>
        <xdr:clientData fPrintsWithSheet="0"/>
      </xdr:twoCellAnchor>
    </mc:Choice>
    <mc:Fallback/>
  </mc:AlternateContent>
  <xdr:twoCellAnchor editAs="oneCell">
    <xdr:from>
      <xdr:col>35</xdr:col>
      <xdr:colOff>0</xdr:colOff>
      <xdr:row>0</xdr:row>
      <xdr:rowOff>0</xdr:rowOff>
    </xdr:from>
    <xdr:to>
      <xdr:col>47</xdr:col>
      <xdr:colOff>413437</xdr:colOff>
      <xdr:row>10</xdr:row>
      <xdr:rowOff>0</xdr:rowOff>
    </xdr:to>
    <xdr:pic>
      <xdr:nvPicPr>
        <xdr:cNvPr id="4119" name="Picture 23">
          <a:extLst>
            <a:ext uri="{FF2B5EF4-FFF2-40B4-BE49-F238E27FC236}">
              <a16:creationId xmlns:a16="http://schemas.microsoft.com/office/drawing/2014/main" id="{00000000-0008-0000-0000-000017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51400" y="0"/>
          <a:ext cx="8644628" cy="4114800"/>
        </a:xfrm>
        <a:prstGeom prst="rect">
          <a:avLst/>
        </a:prstGeom>
        <a:solidFill>
          <a:srgbClr val="FFFFFF"/>
        </a:solidFill>
      </xdr:spPr>
    </xdr:pic>
    <xdr:clientData/>
  </xdr:twoCellAnchor>
  <xdr:twoCellAnchor>
    <xdr:from>
      <xdr:col>23</xdr:col>
      <xdr:colOff>241300</xdr:colOff>
      <xdr:row>11</xdr:row>
      <xdr:rowOff>190500</xdr:rowOff>
    </xdr:from>
    <xdr:to>
      <xdr:col>28</xdr:col>
      <xdr:colOff>241300</xdr:colOff>
      <xdr:row>11</xdr:row>
      <xdr:rowOff>190500</xdr:rowOff>
    </xdr:to>
    <xdr:cxnSp macro="">
      <xdr:nvCxnSpPr>
        <xdr:cNvPr id="16" name="直線矢印コネクタ 15">
          <a:extLst>
            <a:ext uri="{FF2B5EF4-FFF2-40B4-BE49-F238E27FC236}">
              <a16:creationId xmlns:a16="http://schemas.microsoft.com/office/drawing/2014/main" id="{00000000-0008-0000-0000-000010000000}"/>
            </a:ext>
          </a:extLst>
        </xdr:cNvPr>
        <xdr:cNvCxnSpPr/>
      </xdr:nvCxnSpPr>
      <xdr:spPr>
        <a:xfrm flipH="1">
          <a:off x="11544300" y="4686300"/>
          <a:ext cx="21590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228600</xdr:colOff>
      <xdr:row>9</xdr:row>
      <xdr:rowOff>190500</xdr:rowOff>
    </xdr:from>
    <xdr:to>
      <xdr:col>23</xdr:col>
      <xdr:colOff>241300</xdr:colOff>
      <xdr:row>11</xdr:row>
      <xdr:rowOff>190500</xdr:rowOff>
    </xdr:to>
    <xdr:cxnSp macro="">
      <xdr:nvCxnSpPr>
        <xdr:cNvPr id="17" name="直線矢印コネクタ 16">
          <a:extLst>
            <a:ext uri="{FF2B5EF4-FFF2-40B4-BE49-F238E27FC236}">
              <a16:creationId xmlns:a16="http://schemas.microsoft.com/office/drawing/2014/main" id="{00000000-0008-0000-0000-000011000000}"/>
            </a:ext>
          </a:extLst>
        </xdr:cNvPr>
        <xdr:cNvCxnSpPr/>
      </xdr:nvCxnSpPr>
      <xdr:spPr>
        <a:xfrm flipH="1" flipV="1">
          <a:off x="9804400" y="3924300"/>
          <a:ext cx="1739900" cy="762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228600</xdr:colOff>
      <xdr:row>9</xdr:row>
      <xdr:rowOff>190500</xdr:rowOff>
    </xdr:from>
    <xdr:to>
      <xdr:col>19</xdr:col>
      <xdr:colOff>228600</xdr:colOff>
      <xdr:row>9</xdr:row>
      <xdr:rowOff>190500</xdr:rowOff>
    </xdr:to>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flipH="1">
          <a:off x="7645400" y="3924300"/>
          <a:ext cx="21590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215900</xdr:colOff>
      <xdr:row>9</xdr:row>
      <xdr:rowOff>190500</xdr:rowOff>
    </xdr:from>
    <xdr:to>
      <xdr:col>14</xdr:col>
      <xdr:colOff>228600</xdr:colOff>
      <xdr:row>14</xdr:row>
      <xdr:rowOff>190500</xdr:rowOff>
    </xdr:to>
    <xdr:cxnSp macro="">
      <xdr:nvCxnSpPr>
        <xdr:cNvPr id="19" name="直線矢印コネクタ 18">
          <a:extLst>
            <a:ext uri="{FF2B5EF4-FFF2-40B4-BE49-F238E27FC236}">
              <a16:creationId xmlns:a16="http://schemas.microsoft.com/office/drawing/2014/main" id="{00000000-0008-0000-0000-000013000000}"/>
            </a:ext>
          </a:extLst>
        </xdr:cNvPr>
        <xdr:cNvCxnSpPr/>
      </xdr:nvCxnSpPr>
      <xdr:spPr>
        <a:xfrm flipH="1">
          <a:off x="6337300" y="3924300"/>
          <a:ext cx="1308100" cy="1905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215900</xdr:colOff>
      <xdr:row>14</xdr:row>
      <xdr:rowOff>190500</xdr:rowOff>
    </xdr:from>
    <xdr:to>
      <xdr:col>11</xdr:col>
      <xdr:colOff>215900</xdr:colOff>
      <xdr:row>17</xdr:row>
      <xdr:rowOff>190500</xdr:rowOff>
    </xdr:to>
    <xdr:cxnSp macro="">
      <xdr:nvCxnSpPr>
        <xdr:cNvPr id="20" name="直線矢印コネクタ 19">
          <a:extLst>
            <a:ext uri="{FF2B5EF4-FFF2-40B4-BE49-F238E27FC236}">
              <a16:creationId xmlns:a16="http://schemas.microsoft.com/office/drawing/2014/main" id="{00000000-0008-0000-0000-000014000000}"/>
            </a:ext>
          </a:extLst>
        </xdr:cNvPr>
        <xdr:cNvCxnSpPr/>
      </xdr:nvCxnSpPr>
      <xdr:spPr>
        <a:xfrm flipH="1">
          <a:off x="5473700" y="5829300"/>
          <a:ext cx="863600" cy="1143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215900</xdr:colOff>
      <xdr:row>10</xdr:row>
      <xdr:rowOff>190500</xdr:rowOff>
    </xdr:from>
    <xdr:to>
      <xdr:col>9</xdr:col>
      <xdr:colOff>215900</xdr:colOff>
      <xdr:row>17</xdr:row>
      <xdr:rowOff>190500</xdr:rowOff>
    </xdr:to>
    <xdr:cxnSp macro="">
      <xdr:nvCxnSpPr>
        <xdr:cNvPr id="21" name="直線矢印コネクタ 20">
          <a:extLst>
            <a:ext uri="{FF2B5EF4-FFF2-40B4-BE49-F238E27FC236}">
              <a16:creationId xmlns:a16="http://schemas.microsoft.com/office/drawing/2014/main" id="{00000000-0008-0000-0000-000015000000}"/>
            </a:ext>
          </a:extLst>
        </xdr:cNvPr>
        <xdr:cNvCxnSpPr/>
      </xdr:nvCxnSpPr>
      <xdr:spPr>
        <a:xfrm flipH="1" flipV="1">
          <a:off x="4610100" y="4305300"/>
          <a:ext cx="863600" cy="2667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215900</xdr:colOff>
      <xdr:row>10</xdr:row>
      <xdr:rowOff>190500</xdr:rowOff>
    </xdr:from>
    <xdr:to>
      <xdr:col>7</xdr:col>
      <xdr:colOff>215900</xdr:colOff>
      <xdr:row>12</xdr:row>
      <xdr:rowOff>190500</xdr:rowOff>
    </xdr:to>
    <xdr:cxnSp macro="">
      <xdr:nvCxnSpPr>
        <xdr:cNvPr id="22" name="直線矢印コネクタ 21">
          <a:extLst>
            <a:ext uri="{FF2B5EF4-FFF2-40B4-BE49-F238E27FC236}">
              <a16:creationId xmlns:a16="http://schemas.microsoft.com/office/drawing/2014/main" id="{00000000-0008-0000-0000-000016000000}"/>
            </a:ext>
          </a:extLst>
        </xdr:cNvPr>
        <xdr:cNvCxnSpPr/>
      </xdr:nvCxnSpPr>
      <xdr:spPr>
        <a:xfrm flipH="1">
          <a:off x="3746500" y="4305300"/>
          <a:ext cx="863600" cy="762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35</xdr:col>
      <xdr:colOff>63500</xdr:colOff>
      <xdr:row>10</xdr:row>
      <xdr:rowOff>203200</xdr:rowOff>
    </xdr:from>
    <xdr:to>
      <xdr:col>47</xdr:col>
      <xdr:colOff>476940</xdr:colOff>
      <xdr:row>21</xdr:row>
      <xdr:rowOff>127000</xdr:rowOff>
    </xdr:to>
    <xdr:pic>
      <xdr:nvPicPr>
        <xdr:cNvPr id="4121" name="Picture 25">
          <a:extLst>
            <a:ext uri="{FF2B5EF4-FFF2-40B4-BE49-F238E27FC236}">
              <a16:creationId xmlns:a16="http://schemas.microsoft.com/office/drawing/2014/main" id="{00000000-0008-0000-0000-0000191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640300" y="4318000"/>
          <a:ext cx="8643040" cy="4114800"/>
        </a:xfrm>
        <a:prstGeom prst="rect">
          <a:avLst/>
        </a:prstGeom>
        <a:solidFill>
          <a:srgbClr val="FFFFFF"/>
        </a:solidFill>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1C079-30BE-43D8-9182-860CF3DB04AA}">
  <sheetPr codeName="Sheet4">
    <pageSetUpPr fitToPage="1"/>
  </sheetPr>
  <dimension ref="A1:AH22"/>
  <sheetViews>
    <sheetView showGridLines="0" tabSelected="1" view="pageBreakPreview" topLeftCell="A2" zoomScale="70" zoomScaleNormal="62" zoomScaleSheetLayoutView="70" workbookViewId="0">
      <selection activeCell="G29" sqref="G29"/>
    </sheetView>
  </sheetViews>
  <sheetFormatPr defaultRowHeight="17.649999999999999"/>
  <cols>
    <col min="2" max="2" width="9.875" customWidth="1"/>
    <col min="4" max="4" width="9.375" customWidth="1"/>
    <col min="6" max="29" width="5.6875" customWidth="1"/>
    <col min="31" max="31" width="9.875" customWidth="1"/>
    <col min="33" max="33" width="9.375" customWidth="1"/>
    <col min="35" max="35" width="1.6875" customWidth="1"/>
  </cols>
  <sheetData>
    <row r="1" spans="1:34" ht="30" customHeight="1">
      <c r="A1" s="20" t="s">
        <v>14</v>
      </c>
      <c r="B1" s="58">
        <f ca="1">TODAY()</f>
        <v>45144</v>
      </c>
      <c r="C1" s="58"/>
      <c r="D1" s="22">
        <f ca="1">NOW()</f>
        <v>45144.314098263887</v>
      </c>
      <c r="E1" s="23" t="s">
        <v>10</v>
      </c>
      <c r="F1" s="24"/>
      <c r="G1" s="24"/>
      <c r="H1" s="24"/>
      <c r="I1" s="24"/>
      <c r="J1" s="24"/>
      <c r="K1" s="24"/>
      <c r="L1" s="24"/>
      <c r="M1" s="24"/>
      <c r="N1" s="24"/>
      <c r="O1" s="24"/>
      <c r="P1" s="24"/>
      <c r="Q1" s="24"/>
      <c r="R1" s="24"/>
      <c r="S1" s="24"/>
      <c r="T1" s="24"/>
      <c r="U1" s="24"/>
      <c r="V1" s="24">
        <v>7</v>
      </c>
      <c r="W1" s="24">
        <v>6</v>
      </c>
      <c r="X1" s="24">
        <v>5</v>
      </c>
      <c r="Y1" s="24">
        <v>4</v>
      </c>
      <c r="Z1" s="24">
        <v>3</v>
      </c>
      <c r="AA1" s="24">
        <v>2</v>
      </c>
      <c r="AB1" s="24">
        <v>1</v>
      </c>
      <c r="AC1" s="24">
        <v>0</v>
      </c>
      <c r="AD1" s="23" t="s">
        <v>10</v>
      </c>
      <c r="AE1" s="1"/>
      <c r="AF1" s="13" t="s">
        <v>21</v>
      </c>
      <c r="AG1" s="48">
        <v>2</v>
      </c>
      <c r="AH1" s="14"/>
    </row>
    <row r="2" spans="1:34" ht="30" customHeight="1">
      <c r="A2" s="21" t="s">
        <v>15</v>
      </c>
      <c r="B2" s="59" t="s">
        <v>17</v>
      </c>
      <c r="C2" s="59"/>
      <c r="E2" s="25" t="s">
        <v>9</v>
      </c>
      <c r="F2" s="26"/>
      <c r="G2" s="26"/>
      <c r="H2" s="26"/>
      <c r="I2" s="26"/>
      <c r="J2" s="26"/>
      <c r="K2" s="26"/>
      <c r="L2" s="26"/>
      <c r="M2" s="26"/>
      <c r="N2" s="26"/>
      <c r="O2" s="26"/>
      <c r="P2" s="26"/>
      <c r="Q2" s="26"/>
      <c r="R2" s="26"/>
      <c r="S2" s="26"/>
      <c r="T2" s="26"/>
      <c r="U2" s="26"/>
      <c r="V2" s="26">
        <v>2</v>
      </c>
      <c r="W2" s="26">
        <v>2</v>
      </c>
      <c r="X2" s="26">
        <v>5</v>
      </c>
      <c r="Y2" s="26">
        <v>5</v>
      </c>
      <c r="Z2" s="26">
        <v>4</v>
      </c>
      <c r="AA2" s="26">
        <v>2</v>
      </c>
      <c r="AB2" s="26">
        <v>1</v>
      </c>
      <c r="AC2" s="26">
        <v>3</v>
      </c>
      <c r="AD2" s="25" t="s">
        <v>9</v>
      </c>
      <c r="AH2" s="3"/>
    </row>
    <row r="3" spans="1:34" s="4" customFormat="1" ht="54" customHeight="1">
      <c r="A3" s="60" t="s">
        <v>19</v>
      </c>
      <c r="B3" s="61"/>
      <c r="C3" s="61"/>
      <c r="D3" s="33"/>
      <c r="E3" s="27" t="s">
        <v>11</v>
      </c>
      <c r="F3" s="28"/>
      <c r="G3" s="28"/>
      <c r="H3" s="28"/>
      <c r="I3" s="28"/>
      <c r="J3" s="28"/>
      <c r="K3" s="28"/>
      <c r="L3" s="28"/>
      <c r="M3" s="28"/>
      <c r="N3" s="28"/>
      <c r="O3" s="28"/>
      <c r="P3" s="28"/>
      <c r="Q3" s="28"/>
      <c r="R3" s="28"/>
      <c r="S3" s="28"/>
      <c r="T3" s="28"/>
      <c r="U3" s="28"/>
      <c r="V3" s="28" t="s">
        <v>31</v>
      </c>
      <c r="W3" s="28" t="s">
        <v>31</v>
      </c>
      <c r="X3" s="28" t="s">
        <v>27</v>
      </c>
      <c r="Y3" s="28" t="s">
        <v>27</v>
      </c>
      <c r="Z3" s="28" t="s">
        <v>31</v>
      </c>
      <c r="AA3" s="28" t="s">
        <v>31</v>
      </c>
      <c r="AB3" s="28" t="s">
        <v>29</v>
      </c>
      <c r="AC3" s="28" t="s">
        <v>27</v>
      </c>
      <c r="AD3" s="27" t="s">
        <v>11</v>
      </c>
      <c r="AE3" s="32"/>
      <c r="AF3"/>
      <c r="AG3"/>
      <c r="AH3" s="3"/>
    </row>
    <row r="4" spans="1:34" s="4" customFormat="1" ht="30" customHeight="1">
      <c r="A4" s="34"/>
      <c r="B4" s="35"/>
      <c r="C4" s="35"/>
      <c r="D4" s="36"/>
      <c r="E4" s="27" t="s">
        <v>20</v>
      </c>
      <c r="F4" s="29"/>
      <c r="G4" s="29"/>
      <c r="H4" s="29"/>
      <c r="I4" s="29"/>
      <c r="J4" s="29"/>
      <c r="K4" s="29"/>
      <c r="L4" s="29"/>
      <c r="M4" s="29"/>
      <c r="N4" s="29"/>
      <c r="O4" s="29"/>
      <c r="P4" s="29"/>
      <c r="Q4" s="29"/>
      <c r="R4" s="29"/>
      <c r="S4" s="29"/>
      <c r="T4" s="29"/>
      <c r="U4" s="29"/>
      <c r="V4" s="29" t="s">
        <v>37</v>
      </c>
      <c r="W4" s="29" t="s">
        <v>36</v>
      </c>
      <c r="X4" s="29" t="s">
        <v>35</v>
      </c>
      <c r="Y4" s="29" t="s">
        <v>34</v>
      </c>
      <c r="Z4" s="29" t="s">
        <v>33</v>
      </c>
      <c r="AA4" s="29" t="s">
        <v>32</v>
      </c>
      <c r="AB4" s="29" t="s">
        <v>30</v>
      </c>
      <c r="AC4" s="29" t="s">
        <v>28</v>
      </c>
      <c r="AD4" s="27" t="s">
        <v>20</v>
      </c>
      <c r="AE4"/>
      <c r="AF4"/>
      <c r="AG4"/>
      <c r="AH4" s="3"/>
    </row>
    <row r="5" spans="1:34" s="4" customFormat="1" ht="30" customHeight="1">
      <c r="A5" s="62" t="s">
        <v>22</v>
      </c>
      <c r="B5" s="63"/>
      <c r="C5" s="63"/>
      <c r="D5" s="64"/>
      <c r="E5" s="30" t="s">
        <v>18</v>
      </c>
      <c r="F5" s="31"/>
      <c r="G5" s="31"/>
      <c r="H5" s="31"/>
      <c r="I5" s="31"/>
      <c r="J5" s="31"/>
      <c r="K5" s="31"/>
      <c r="L5" s="31"/>
      <c r="M5" s="31"/>
      <c r="N5" s="31"/>
      <c r="O5" s="31"/>
      <c r="P5" s="31"/>
      <c r="Q5" s="31"/>
      <c r="R5" s="31"/>
      <c r="S5" s="31"/>
      <c r="T5" s="31"/>
      <c r="U5" s="31"/>
      <c r="V5" s="31" t="s">
        <v>25</v>
      </c>
      <c r="W5" s="31"/>
      <c r="X5" s="31"/>
      <c r="Y5" s="31"/>
      <c r="Z5" s="31"/>
      <c r="AA5" s="31"/>
      <c r="AB5" s="31"/>
      <c r="AC5" s="31"/>
      <c r="AD5" s="30" t="s">
        <v>18</v>
      </c>
      <c r="AE5"/>
      <c r="AF5"/>
      <c r="AG5"/>
      <c r="AH5" s="3"/>
    </row>
    <row r="6" spans="1:34" s="4" customFormat="1" ht="30" customHeight="1">
      <c r="A6" s="2"/>
      <c r="B6" s="10" t="s">
        <v>3</v>
      </c>
      <c r="C6" s="18" t="s">
        <v>26</v>
      </c>
      <c r="D6"/>
      <c r="E6"/>
      <c r="F6"/>
      <c r="G6"/>
      <c r="H6"/>
      <c r="I6"/>
      <c r="J6"/>
      <c r="K6"/>
      <c r="L6"/>
      <c r="M6"/>
      <c r="N6"/>
      <c r="O6"/>
      <c r="P6"/>
      <c r="Q6"/>
      <c r="R6"/>
      <c r="S6"/>
      <c r="T6"/>
      <c r="U6"/>
      <c r="V6"/>
      <c r="W6"/>
      <c r="X6"/>
      <c r="Y6"/>
      <c r="Z6"/>
      <c r="AA6"/>
      <c r="AB6"/>
      <c r="AC6"/>
      <c r="AD6"/>
      <c r="AE6" s="10" t="s">
        <v>3</v>
      </c>
      <c r="AF6" s="10" t="str" cm="1">
        <f t="array" ref="AF6">_xlfn.SWITCH(C6,"攻撃","守備","守備","攻撃")</f>
        <v>攻撃</v>
      </c>
      <c r="AG6"/>
      <c r="AH6" s="3"/>
    </row>
    <row r="7" spans="1:34" ht="30" customHeight="1">
      <c r="A7" s="2"/>
      <c r="B7" s="11" t="s">
        <v>12</v>
      </c>
      <c r="C7" s="18" t="s">
        <v>13</v>
      </c>
      <c r="F7" s="56"/>
      <c r="G7" s="56"/>
      <c r="H7" s="56"/>
      <c r="I7" s="56"/>
      <c r="J7" s="56"/>
      <c r="K7" s="56"/>
      <c r="L7" s="56"/>
      <c r="M7" s="56"/>
      <c r="N7" s="56"/>
      <c r="O7" s="56"/>
      <c r="P7" s="56"/>
      <c r="Q7" s="56"/>
      <c r="R7" s="56"/>
      <c r="S7" s="56"/>
      <c r="T7" s="56"/>
      <c r="U7" s="56"/>
      <c r="V7" s="56"/>
      <c r="W7" s="56"/>
      <c r="X7" s="56"/>
      <c r="Y7" s="56"/>
      <c r="Z7" s="56"/>
      <c r="AA7" s="56"/>
      <c r="AB7" s="56"/>
      <c r="AC7" s="56"/>
      <c r="AE7" s="11" t="s">
        <v>12</v>
      </c>
      <c r="AF7" s="18" t="s">
        <v>4</v>
      </c>
      <c r="AH7" s="3"/>
    </row>
    <row r="8" spans="1:34" ht="30" customHeight="1">
      <c r="A8" s="2"/>
      <c r="B8" s="10" t="s">
        <v>16</v>
      </c>
      <c r="F8" s="56"/>
      <c r="G8" s="37"/>
      <c r="H8" s="38"/>
      <c r="I8" s="38"/>
      <c r="J8" s="38"/>
      <c r="K8" s="38"/>
      <c r="L8" s="38"/>
      <c r="M8" s="38"/>
      <c r="N8" s="38"/>
      <c r="O8" s="38"/>
      <c r="P8" s="38"/>
      <c r="Q8" s="45"/>
      <c r="R8" s="38"/>
      <c r="S8" s="38"/>
      <c r="T8" s="38"/>
      <c r="U8" s="38"/>
      <c r="V8" s="38"/>
      <c r="W8" s="38"/>
      <c r="X8" s="38"/>
      <c r="Y8" s="38"/>
      <c r="Z8" s="38"/>
      <c r="AA8" s="38"/>
      <c r="AB8" s="39"/>
      <c r="AC8" s="56"/>
      <c r="AE8" s="12" t="s">
        <v>16</v>
      </c>
      <c r="AH8" s="3"/>
    </row>
    <row r="9" spans="1:34" ht="30" customHeight="1">
      <c r="A9" s="2"/>
      <c r="B9" s="15" t="s">
        <v>9</v>
      </c>
      <c r="C9" s="6" t="s">
        <v>11</v>
      </c>
      <c r="D9" s="7" t="s">
        <v>8</v>
      </c>
      <c r="F9" s="56"/>
      <c r="G9" s="40"/>
      <c r="H9" s="57"/>
      <c r="I9" s="57"/>
      <c r="J9" s="57"/>
      <c r="K9" s="57"/>
      <c r="L9" s="57"/>
      <c r="M9" s="57"/>
      <c r="N9" s="57"/>
      <c r="O9" s="57"/>
      <c r="P9" s="57"/>
      <c r="Q9" s="46"/>
      <c r="R9" s="57"/>
      <c r="S9" s="57"/>
      <c r="T9" s="57"/>
      <c r="U9" s="57"/>
      <c r="V9" s="57"/>
      <c r="W9" s="57"/>
      <c r="X9" s="57"/>
      <c r="Y9" s="57"/>
      <c r="Z9" s="57"/>
      <c r="AA9" s="57"/>
      <c r="AB9" s="41"/>
      <c r="AC9" s="56"/>
      <c r="AE9" s="5" t="s">
        <v>9</v>
      </c>
      <c r="AF9" s="6" t="s">
        <v>11</v>
      </c>
      <c r="AG9" s="7" t="s">
        <v>8</v>
      </c>
      <c r="AH9" s="3"/>
    </row>
    <row r="10" spans="1:34" ht="30" customHeight="1">
      <c r="A10" s="2"/>
      <c r="B10" s="53">
        <v>1</v>
      </c>
      <c r="C10" s="19" t="s">
        <v>0</v>
      </c>
      <c r="D10" s="8" t="str">
        <f>IF($C$8="攻撃",COUNTIFS($F$2:$AC$2,スコア表!$B10),"")</f>
        <v/>
      </c>
      <c r="F10" s="56"/>
      <c r="G10" s="40"/>
      <c r="H10" s="57"/>
      <c r="I10" s="57"/>
      <c r="J10" s="57"/>
      <c r="K10" s="57"/>
      <c r="L10" s="57"/>
      <c r="M10" s="57"/>
      <c r="N10" s="57"/>
      <c r="O10" s="57">
        <v>4</v>
      </c>
      <c r="P10" s="57"/>
      <c r="Q10" s="46"/>
      <c r="R10" s="57"/>
      <c r="S10" s="57"/>
      <c r="T10" s="57">
        <v>2</v>
      </c>
      <c r="U10" s="57"/>
      <c r="V10" s="57"/>
      <c r="W10" s="57"/>
      <c r="X10" s="57"/>
      <c r="Y10" s="57"/>
      <c r="Z10" s="57"/>
      <c r="AA10" s="57"/>
      <c r="AB10" s="41"/>
      <c r="AC10" s="56"/>
      <c r="AE10" s="16">
        <v>1</v>
      </c>
      <c r="AF10" s="19" t="s">
        <v>5</v>
      </c>
      <c r="AG10" s="8" t="str">
        <f>IF($AF$8="攻撃",COUNTIF($F$2:$AC$2,AE10),"")</f>
        <v/>
      </c>
      <c r="AH10" s="3"/>
    </row>
    <row r="11" spans="1:34" ht="30" customHeight="1">
      <c r="A11" s="2"/>
      <c r="B11" s="54">
        <v>2</v>
      </c>
      <c r="C11" s="19" t="s">
        <v>1</v>
      </c>
      <c r="D11" s="9" t="str">
        <f>IF($C$8="攻撃",COUNTIFS($F$2:$AC$2,スコア表!$B11),"")</f>
        <v/>
      </c>
      <c r="F11" s="56"/>
      <c r="G11" s="40"/>
      <c r="H11" s="57">
        <v>2</v>
      </c>
      <c r="I11" s="57"/>
      <c r="J11" s="57"/>
      <c r="K11" s="57"/>
      <c r="L11" s="57"/>
      <c r="M11" s="57"/>
      <c r="N11" s="57"/>
      <c r="O11" s="57"/>
      <c r="P11" s="57"/>
      <c r="Q11" s="46"/>
      <c r="R11" s="57"/>
      <c r="S11" s="57"/>
      <c r="T11" s="57"/>
      <c r="U11" s="57"/>
      <c r="V11" s="57"/>
      <c r="W11" s="57"/>
      <c r="X11" s="57"/>
      <c r="Y11" s="57"/>
      <c r="Z11" s="57"/>
      <c r="AA11" s="57"/>
      <c r="AB11" s="41"/>
      <c r="AC11" s="56"/>
      <c r="AE11" s="17">
        <v>2</v>
      </c>
      <c r="AF11" s="19" t="s">
        <v>6</v>
      </c>
      <c r="AG11" s="9" t="str">
        <f>IF($AF$8="攻撃",COUNTIF($F$2:$AC$2,AE11),"")</f>
        <v/>
      </c>
      <c r="AH11" s="3"/>
    </row>
    <row r="12" spans="1:34" ht="30" customHeight="1" thickBot="1">
      <c r="A12" s="2"/>
      <c r="B12" s="53">
        <v>3</v>
      </c>
      <c r="C12" s="19" t="s">
        <v>2</v>
      </c>
      <c r="D12" s="8" t="str">
        <f>IF($C$8="攻撃",COUNTIFS($F$2:$AC$2,スコア表!$B12),"")</f>
        <v/>
      </c>
      <c r="F12" s="56"/>
      <c r="G12" s="40"/>
      <c r="H12" s="57"/>
      <c r="I12" s="57"/>
      <c r="J12" s="57"/>
      <c r="K12" s="57"/>
      <c r="L12" s="57"/>
      <c r="M12" s="57"/>
      <c r="N12" s="57"/>
      <c r="O12" s="57"/>
      <c r="P12" s="57"/>
      <c r="Q12" s="46"/>
      <c r="R12" s="57"/>
      <c r="S12" s="57"/>
      <c r="T12" s="57"/>
      <c r="U12" s="57"/>
      <c r="V12" s="57"/>
      <c r="W12" s="57"/>
      <c r="X12" s="57">
        <v>1</v>
      </c>
      <c r="Y12" s="57"/>
      <c r="Z12" s="57"/>
      <c r="AA12" s="57"/>
      <c r="AB12" s="41"/>
      <c r="AC12" s="56">
        <v>3</v>
      </c>
      <c r="AE12" s="16">
        <v>3</v>
      </c>
      <c r="AF12" s="19" t="s">
        <v>7</v>
      </c>
      <c r="AG12" s="8" t="str">
        <f>IF($AF$8="攻撃",COUNTIF($F$2:$AC$2,AE12),"")</f>
        <v/>
      </c>
      <c r="AH12" s="3"/>
    </row>
    <row r="13" spans="1:34" ht="30" customHeight="1" thickTop="1" thickBot="1">
      <c r="A13" s="2"/>
      <c r="B13" s="54">
        <v>4</v>
      </c>
      <c r="C13" s="19" t="s">
        <v>23</v>
      </c>
      <c r="D13" s="9" t="str">
        <f>IF($C$8="攻撃",COUNTIFS($F$2:$AC$2,スコア表!$B13),"")</f>
        <v/>
      </c>
      <c r="F13" s="55">
        <v>2</v>
      </c>
      <c r="G13" s="40"/>
      <c r="H13" s="57"/>
      <c r="I13" s="57"/>
      <c r="J13" s="57"/>
      <c r="K13" s="57"/>
      <c r="L13" s="57"/>
      <c r="M13" s="57"/>
      <c r="N13" s="57"/>
      <c r="O13" s="57"/>
      <c r="P13" s="57"/>
      <c r="Q13" s="46"/>
      <c r="R13" s="57"/>
      <c r="S13" s="57"/>
      <c r="T13" s="57"/>
      <c r="U13" s="57"/>
      <c r="V13" s="57"/>
      <c r="W13" s="57"/>
      <c r="X13" s="57"/>
      <c r="Y13" s="57"/>
      <c r="Z13" s="57"/>
      <c r="AA13" s="57"/>
      <c r="AB13" s="41"/>
      <c r="AC13" s="56"/>
      <c r="AE13" s="17">
        <v>4</v>
      </c>
      <c r="AF13" s="19" t="s">
        <v>6</v>
      </c>
      <c r="AG13" s="9" t="str">
        <f>IF($AF$8="攻撃",COUNTIF($F$2:$AC$2,AE13),"")</f>
        <v/>
      </c>
      <c r="AH13" s="3"/>
    </row>
    <row r="14" spans="1:34" ht="30" customHeight="1" thickTop="1">
      <c r="A14" s="2"/>
      <c r="B14" s="53">
        <v>5</v>
      </c>
      <c r="C14" s="19" t="s">
        <v>24</v>
      </c>
      <c r="D14" s="8" t="str">
        <f>IF($C$8="攻撃",COUNTIFS($F$2:$AC$2,スコア表!$B14),"")</f>
        <v/>
      </c>
      <c r="F14" s="56"/>
      <c r="G14" s="40"/>
      <c r="H14" s="57"/>
      <c r="I14" s="57"/>
      <c r="J14" s="57"/>
      <c r="K14" s="57"/>
      <c r="L14" s="57"/>
      <c r="M14" s="57"/>
      <c r="N14" s="57"/>
      <c r="O14" s="57"/>
      <c r="P14" s="57"/>
      <c r="Q14" s="46"/>
      <c r="R14" s="57"/>
      <c r="S14" s="57"/>
      <c r="T14" s="57"/>
      <c r="U14" s="57"/>
      <c r="V14" s="57"/>
      <c r="W14" s="57"/>
      <c r="X14" s="57"/>
      <c r="Y14" s="57"/>
      <c r="Z14" s="57"/>
      <c r="AA14" s="57"/>
      <c r="AB14" s="41"/>
      <c r="AC14" s="56"/>
      <c r="AE14" s="16">
        <v>5</v>
      </c>
      <c r="AF14" s="19" t="s">
        <v>7</v>
      </c>
      <c r="AG14" s="8" t="str">
        <f>IF($AF$8="攻撃",COUNTIF($F$2:$AC$2,AE14),"")</f>
        <v/>
      </c>
      <c r="AH14" s="3"/>
    </row>
    <row r="15" spans="1:34" ht="30" customHeight="1">
      <c r="A15" s="2"/>
      <c r="B15" s="49"/>
      <c r="C15" s="50"/>
      <c r="D15" s="50"/>
      <c r="F15" s="56"/>
      <c r="G15" s="40"/>
      <c r="H15" s="57"/>
      <c r="I15" s="57"/>
      <c r="J15" s="57"/>
      <c r="K15" s="57"/>
      <c r="L15" s="57">
        <v>5</v>
      </c>
      <c r="M15" s="57"/>
      <c r="N15" s="57"/>
      <c r="O15" s="57"/>
      <c r="P15" s="57"/>
      <c r="Q15" s="46"/>
      <c r="R15" s="57"/>
      <c r="S15" s="57"/>
      <c r="T15" s="57"/>
      <c r="U15" s="57"/>
      <c r="V15" s="57"/>
      <c r="W15" s="57"/>
      <c r="X15" s="57"/>
      <c r="Y15" s="57"/>
      <c r="Z15" s="57"/>
      <c r="AA15" s="57"/>
      <c r="AB15" s="41"/>
      <c r="AC15" s="56"/>
      <c r="AE15" s="49"/>
      <c r="AF15" s="50"/>
      <c r="AG15" s="50"/>
      <c r="AH15" s="3"/>
    </row>
    <row r="16" spans="1:34" ht="30" customHeight="1">
      <c r="A16" s="2"/>
      <c r="B16" s="52"/>
      <c r="C16" s="52"/>
      <c r="D16" s="52"/>
      <c r="F16" s="56"/>
      <c r="G16" s="40"/>
      <c r="H16" s="57"/>
      <c r="I16" s="57"/>
      <c r="J16" s="57"/>
      <c r="K16" s="57"/>
      <c r="L16" s="57"/>
      <c r="M16" s="57"/>
      <c r="N16" s="57"/>
      <c r="O16" s="57"/>
      <c r="P16" s="57"/>
      <c r="Q16" s="46"/>
      <c r="R16" s="57"/>
      <c r="S16" s="57"/>
      <c r="T16" s="57"/>
      <c r="U16" s="57"/>
      <c r="V16" s="57"/>
      <c r="W16" s="57"/>
      <c r="X16" s="57"/>
      <c r="Y16" s="57"/>
      <c r="Z16" s="57"/>
      <c r="AA16" s="57"/>
      <c r="AB16" s="41"/>
      <c r="AC16" s="56"/>
      <c r="AE16" s="51"/>
      <c r="AH16" s="3"/>
    </row>
    <row r="17" spans="1:34" ht="30" customHeight="1">
      <c r="A17" s="2"/>
      <c r="B17" s="52"/>
      <c r="C17" s="52"/>
      <c r="D17" s="52"/>
      <c r="F17" s="56"/>
      <c r="G17" s="40"/>
      <c r="H17" s="57"/>
      <c r="I17" s="57"/>
      <c r="J17" s="57"/>
      <c r="K17" s="57"/>
      <c r="L17" s="57"/>
      <c r="M17" s="57"/>
      <c r="N17" s="57"/>
      <c r="O17" s="57"/>
      <c r="P17" s="57"/>
      <c r="Q17" s="46"/>
      <c r="R17" s="57"/>
      <c r="S17" s="57"/>
      <c r="T17" s="57"/>
      <c r="U17" s="57"/>
      <c r="V17" s="57"/>
      <c r="W17" s="57"/>
      <c r="X17" s="57"/>
      <c r="Y17" s="57"/>
      <c r="Z17" s="57"/>
      <c r="AA17" s="57"/>
      <c r="AB17" s="41"/>
      <c r="AC17" s="56"/>
      <c r="AE17" s="51"/>
      <c r="AH17" s="3"/>
    </row>
    <row r="18" spans="1:34" ht="30" customHeight="1">
      <c r="A18" s="2"/>
      <c r="B18" s="52"/>
      <c r="C18" s="52"/>
      <c r="D18" s="52"/>
      <c r="F18" s="56"/>
      <c r="G18" s="40"/>
      <c r="H18" s="57"/>
      <c r="I18" s="57"/>
      <c r="J18" s="57">
        <v>5</v>
      </c>
      <c r="K18" s="57"/>
      <c r="L18" s="57"/>
      <c r="M18" s="57"/>
      <c r="N18" s="57"/>
      <c r="O18" s="57"/>
      <c r="P18" s="57"/>
      <c r="Q18" s="46"/>
      <c r="R18" s="57"/>
      <c r="S18" s="57"/>
      <c r="T18" s="57"/>
      <c r="U18" s="57"/>
      <c r="V18" s="57"/>
      <c r="W18" s="57"/>
      <c r="X18" s="57"/>
      <c r="Y18" s="57"/>
      <c r="Z18" s="57"/>
      <c r="AA18" s="57"/>
      <c r="AB18" s="41"/>
      <c r="AC18" s="56"/>
      <c r="AE18" s="51"/>
      <c r="AH18" s="3"/>
    </row>
    <row r="19" spans="1:34" ht="30" customHeight="1">
      <c r="A19" s="2"/>
      <c r="B19" s="51"/>
      <c r="F19" s="56"/>
      <c r="G19" s="42"/>
      <c r="H19" s="43"/>
      <c r="I19" s="43"/>
      <c r="J19" s="43"/>
      <c r="K19" s="43"/>
      <c r="L19" s="43"/>
      <c r="M19" s="43"/>
      <c r="N19" s="43"/>
      <c r="O19" s="43"/>
      <c r="P19" s="43"/>
      <c r="Q19" s="47"/>
      <c r="R19" s="43"/>
      <c r="S19" s="43"/>
      <c r="T19" s="43"/>
      <c r="U19" s="43"/>
      <c r="V19" s="43"/>
      <c r="W19" s="43"/>
      <c r="X19" s="43"/>
      <c r="Y19" s="43"/>
      <c r="Z19" s="43"/>
      <c r="AA19" s="43"/>
      <c r="AB19" s="44"/>
      <c r="AC19" s="56"/>
      <c r="AE19" s="51"/>
      <c r="AH19" s="3"/>
    </row>
    <row r="20" spans="1:34" ht="30" customHeight="1">
      <c r="A20" s="2"/>
      <c r="F20" s="56"/>
      <c r="G20" s="56"/>
      <c r="H20" s="56"/>
      <c r="I20" s="56"/>
      <c r="J20" s="56"/>
      <c r="K20" s="56"/>
      <c r="L20" s="56"/>
      <c r="M20" s="56"/>
      <c r="N20" s="56"/>
      <c r="O20" s="56"/>
      <c r="P20" s="56"/>
      <c r="Q20" s="56"/>
      <c r="R20" s="56"/>
      <c r="S20" s="56"/>
      <c r="T20" s="56"/>
      <c r="U20" s="56"/>
      <c r="V20" s="56"/>
      <c r="W20" s="56"/>
      <c r="X20" s="56"/>
      <c r="Y20" s="56"/>
      <c r="Z20" s="56"/>
      <c r="AA20" s="56"/>
      <c r="AB20" s="56"/>
      <c r="AC20" s="56"/>
      <c r="AH20" s="3"/>
    </row>
    <row r="21" spans="1:34" ht="30" customHeight="1">
      <c r="A21" s="2"/>
      <c r="AH21" s="3"/>
    </row>
    <row r="22" spans="1:34">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sheetData>
  <mergeCells count="4">
    <mergeCell ref="B1:C1"/>
    <mergeCell ref="B2:C2"/>
    <mergeCell ref="A3:C3"/>
    <mergeCell ref="A5:D5"/>
  </mergeCells>
  <phoneticPr fontId="1"/>
  <conditionalFormatting sqref="F5:AC5">
    <cfRule type="expression" dxfId="1" priority="3">
      <formula>F5="ミス"</formula>
    </cfRule>
    <cfRule type="expression" dxfId="0" priority="4">
      <formula>F5="ゴール"</formula>
    </cfRule>
  </conditionalFormatting>
  <dataValidations count="4">
    <dataValidation type="list" allowBlank="1" showInputMessage="1" showErrorMessage="1" sqref="AD19" xr:uid="{85B0439F-D80C-4BA1-B6B7-99D6755A58EE}">
      <formula1>"1,2,3,4,5"</formula1>
    </dataValidation>
    <dataValidation type="list" allowBlank="1" showInputMessage="1" showErrorMessage="1" sqref="C6" xr:uid="{A338E575-84D3-4685-9C3C-828012FFC0A9}">
      <formula1>"攻撃,守備"</formula1>
    </dataValidation>
    <dataValidation type="list" allowBlank="1" showInputMessage="1" showErrorMessage="1" sqref="F5:AC5" xr:uid="{F63BF626-4D41-49B8-BEBB-89BAD75B87E3}">
      <formula1>"ゴール,ミス"</formula1>
    </dataValidation>
    <dataValidation type="list" allowBlank="1" showInputMessage="1" showErrorMessage="1" sqref="F7:AC20" xr:uid="{7863D8B9-8DEB-47F5-ABA4-9287E1560211}">
      <formula1>ビブスNo</formula1>
    </dataValidation>
  </dataValidations>
  <pageMargins left="0.7" right="0.7" top="0.75" bottom="0.75" header="0.3" footer="0.3"/>
  <pageSetup paperSize="9"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clear_count">
                <anchor moveWithCells="1">
                  <from>
                    <xdr:col>3</xdr:col>
                    <xdr:colOff>61913</xdr:colOff>
                    <xdr:row>2</xdr:row>
                    <xdr:rowOff>47625</xdr:rowOff>
                  </from>
                  <to>
                    <xdr:col>3</xdr:col>
                    <xdr:colOff>676275</xdr:colOff>
                    <xdr:row>2</xdr:row>
                    <xdr:rowOff>623888</xdr:rowOff>
                  </to>
                </anchor>
              </controlPr>
            </control>
          </mc:Choice>
        </mc:AlternateContent>
        <mc:AlternateContent xmlns:mc="http://schemas.openxmlformats.org/markup-compatibility/2006">
          <mc:Choice Requires="x14">
            <control shapeId="4115" r:id="rId5" name="Button 19">
              <controlPr defaultSize="0" print="0" autoFill="0" autoPict="0" macro="[0]!Sheet4.画像貼付け">
                <anchor moveWithCells="1" sizeWithCells="1">
                  <from>
                    <xdr:col>30</xdr:col>
                    <xdr:colOff>76200</xdr:colOff>
                    <xdr:row>2</xdr:row>
                    <xdr:rowOff>61913</xdr:rowOff>
                  </from>
                  <to>
                    <xdr:col>30</xdr:col>
                    <xdr:colOff>685800</xdr:colOff>
                    <xdr:row>2</xdr:row>
                    <xdr:rowOff>633413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0A878A-D466-4DDD-9EB4-7D50401AC4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スコア表</vt:lpstr>
      <vt:lpstr>スコア表!Print_Area</vt:lpstr>
      <vt:lpstr>ビブスNo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phonet-ict011</dc:creator>
  <cp:lastModifiedBy>一瀬 貴士</cp:lastModifiedBy>
  <cp:lastPrinted>2022-12-04T03:42:10Z</cp:lastPrinted>
  <dcterms:created xsi:type="dcterms:W3CDTF">2022-10-31T07:01:15Z</dcterms:created>
  <dcterms:modified xsi:type="dcterms:W3CDTF">2023-08-05T22:32:40Z</dcterms:modified>
</cp:coreProperties>
</file>